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ra\Documents\Life Goals\University\Year 4 - Masters\Aerospace Group Project\MDO Development\Minimum Mach Number Required\"/>
    </mc:Choice>
  </mc:AlternateContent>
  <xr:revisionPtr revIDLastSave="0" documentId="13_ncr:1_{0DC86B85-CCE7-4D32-B847-F5726451691C}" xr6:coauthVersionLast="47" xr6:coauthVersionMax="47" xr10:uidLastSave="{00000000-0000-0000-0000-000000000000}"/>
  <bookViews>
    <workbookView xWindow="-93" yWindow="-93" windowWidth="19386" windowHeight="11586" xr2:uid="{2D824161-26A2-4FEF-9900-454B2151FA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6" i="1"/>
  <c r="F15" i="1"/>
  <c r="F14" i="1"/>
  <c r="F10" i="1"/>
  <c r="F11" i="1"/>
  <c r="F12" i="1"/>
  <c r="F13" i="1"/>
  <c r="F8" i="1"/>
  <c r="F7" i="1"/>
  <c r="F6" i="1"/>
  <c r="F5" i="1"/>
  <c r="F4" i="1"/>
  <c r="F3" i="1"/>
  <c r="F2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3" i="1"/>
  <c r="C4" i="1"/>
  <c r="C2" i="1"/>
</calcChain>
</file>

<file path=xl/sharedStrings.xml><?xml version="1.0" encoding="utf-8"?>
<sst xmlns="http://schemas.openxmlformats.org/spreadsheetml/2006/main" count="25" uniqueCount="25">
  <si>
    <t>#</t>
  </si>
  <si>
    <t>Flight Schedule</t>
  </si>
  <si>
    <t>Melbourne to Shanghai</t>
  </si>
  <si>
    <t>Shanghai to Suzuka</t>
  </si>
  <si>
    <t>Suzuka to Sakhir</t>
  </si>
  <si>
    <t>Sakhir to Jeddah</t>
  </si>
  <si>
    <t>Jeddah to Miami</t>
  </si>
  <si>
    <t>Miami to Montreal</t>
  </si>
  <si>
    <t>Montreal to Monaco</t>
  </si>
  <si>
    <t>Monaco to Madrid</t>
  </si>
  <si>
    <t>Madrid to Baku</t>
  </si>
  <si>
    <t>Baku to Singapore</t>
  </si>
  <si>
    <t>Singapore to Austin</t>
  </si>
  <si>
    <t>Austin to Mexico City</t>
  </si>
  <si>
    <t>Mexico City to Sao Paulo</t>
  </si>
  <si>
    <t>Sao Paulo to Las Vegas</t>
  </si>
  <si>
    <t>Las Vegas to Lusail</t>
  </si>
  <si>
    <t>Lusail to Abu Dhabi</t>
  </si>
  <si>
    <t>Distance (km)</t>
  </si>
  <si>
    <t>Freight Departure Time (Local)</t>
  </si>
  <si>
    <t>Hours</t>
  </si>
  <si>
    <t>How Many Stops?</t>
  </si>
  <si>
    <t>Notes</t>
  </si>
  <si>
    <t>Freight Arrival Time(Departure Time Zone)</t>
  </si>
  <si>
    <t>Fleet Flies Empty  to Madrid. Trucks take over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</si>
</sst>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55DF-E2D0-4180-81B3-C62944A92B0C}">
  <dimension ref="A1:H24"/>
  <sheetViews>
    <sheetView tabSelected="1" zoomScale="72" workbookViewId="0">
      <selection activeCell="G18" sqref="G18"/>
    </sheetView>
  </sheetViews>
  <sheetFormatPr defaultRowHeight="14.35" x14ac:dyDescent="0.5"/>
  <cols>
    <col min="2" max="2" width="19.76171875" bestFit="1" customWidth="1"/>
    <col min="3" max="3" width="17.46875" bestFit="1" customWidth="1"/>
    <col min="4" max="4" width="24.52734375" bestFit="1" customWidth="1"/>
    <col min="5" max="5" width="34.41015625" bestFit="1" customWidth="1"/>
    <col min="6" max="6" width="8.9375" customWidth="1"/>
    <col min="7" max="7" width="14.8203125" bestFit="1" customWidth="1"/>
    <col min="8" max="8" width="43.5859375" bestFit="1" customWidth="1"/>
  </cols>
  <sheetData>
    <row r="1" spans="1:8" x14ac:dyDescent="0.5">
      <c r="A1" s="3" t="s">
        <v>0</v>
      </c>
      <c r="B1" s="3" t="s">
        <v>1</v>
      </c>
      <c r="C1" s="3" t="s">
        <v>18</v>
      </c>
      <c r="D1" s="3" t="s">
        <v>19</v>
      </c>
      <c r="E1" s="3" t="s">
        <v>23</v>
      </c>
      <c r="F1" s="3" t="s">
        <v>20</v>
      </c>
      <c r="G1" s="3" t="s">
        <v>21</v>
      </c>
      <c r="H1" s="3" t="s">
        <v>22</v>
      </c>
    </row>
    <row r="2" spans="1:8" x14ac:dyDescent="0.5">
      <c r="A2">
        <v>1</v>
      </c>
      <c r="B2" t="s">
        <v>2</v>
      </c>
      <c r="C2" s="2">
        <f>8018000/1000</f>
        <v>8018</v>
      </c>
      <c r="D2" s="4">
        <v>46091.291666666664</v>
      </c>
      <c r="E2" s="4">
        <v>46092.375</v>
      </c>
      <c r="F2">
        <f>(E2-D2)*24</f>
        <v>26.000000000058208</v>
      </c>
      <c r="G2">
        <v>0</v>
      </c>
    </row>
    <row r="3" spans="1:8" x14ac:dyDescent="0.5">
      <c r="A3">
        <v>2</v>
      </c>
      <c r="B3" t="s">
        <v>3</v>
      </c>
      <c r="C3">
        <f>1457000/1000</f>
        <v>1457</v>
      </c>
      <c r="D3" s="4">
        <v>46098.291666666664</v>
      </c>
      <c r="E3" s="4">
        <v>46106.458333333336</v>
      </c>
      <c r="F3">
        <f>(E3-D3)*24</f>
        <v>196.00000000011642</v>
      </c>
      <c r="G3">
        <v>0</v>
      </c>
    </row>
    <row r="4" spans="1:8" x14ac:dyDescent="0.5">
      <c r="A4">
        <v>3</v>
      </c>
      <c r="B4" t="s">
        <v>4</v>
      </c>
      <c r="C4">
        <f>8052000/1000</f>
        <v>8052</v>
      </c>
      <c r="D4" s="4">
        <v>46112.25</v>
      </c>
      <c r="E4" s="4">
        <v>46120.25</v>
      </c>
      <c r="F4">
        <f>(E4-D4)*24</f>
        <v>192</v>
      </c>
      <c r="G4">
        <v>0</v>
      </c>
    </row>
    <row r="5" spans="1:8" x14ac:dyDescent="0.5">
      <c r="A5">
        <v>4</v>
      </c>
      <c r="B5" t="s">
        <v>5</v>
      </c>
      <c r="C5">
        <f>1272000/1000</f>
        <v>1272</v>
      </c>
      <c r="D5" s="4">
        <v>46126.416666666664</v>
      </c>
      <c r="E5" s="4">
        <v>46127</v>
      </c>
      <c r="F5">
        <f>(E5-D5)*24</f>
        <v>14.000000000058208</v>
      </c>
      <c r="G5">
        <v>0</v>
      </c>
    </row>
    <row r="6" spans="1:8" x14ac:dyDescent="0.5">
      <c r="A6">
        <v>5</v>
      </c>
      <c r="B6" t="s">
        <v>6</v>
      </c>
      <c r="C6">
        <f>11621000/1000</f>
        <v>11621</v>
      </c>
      <c r="D6" s="4">
        <v>46133.5</v>
      </c>
      <c r="E6" s="4">
        <v>46141.291666666664</v>
      </c>
      <c r="F6">
        <f>(E6-D6)*24</f>
        <v>186.99999999994179</v>
      </c>
      <c r="G6">
        <v>1</v>
      </c>
    </row>
    <row r="7" spans="1:8" x14ac:dyDescent="0.5">
      <c r="A7">
        <v>6</v>
      </c>
      <c r="B7" t="s">
        <v>7</v>
      </c>
      <c r="C7">
        <f>2264000/1000</f>
        <v>2264</v>
      </c>
      <c r="D7" s="4">
        <v>46147.333333333336</v>
      </c>
      <c r="E7" s="4">
        <v>46162</v>
      </c>
      <c r="F7">
        <f>(E7-D7)*24</f>
        <v>351.99999999994179</v>
      </c>
      <c r="G7">
        <v>0</v>
      </c>
    </row>
    <row r="8" spans="1:8" x14ac:dyDescent="0.5">
      <c r="A8">
        <v>7</v>
      </c>
      <c r="B8" t="s">
        <v>8</v>
      </c>
      <c r="C8">
        <f>6129000/1000</f>
        <v>6129</v>
      </c>
      <c r="D8" s="4">
        <v>46168.25</v>
      </c>
      <c r="E8" s="4">
        <v>46176.75</v>
      </c>
      <c r="F8">
        <f>(E8-D8)*24</f>
        <v>204</v>
      </c>
      <c r="G8">
        <v>0</v>
      </c>
    </row>
    <row r="9" spans="1:8" x14ac:dyDescent="0.5">
      <c r="A9">
        <v>8</v>
      </c>
      <c r="B9" t="s">
        <v>9</v>
      </c>
      <c r="C9">
        <f>957000/1000</f>
        <v>957</v>
      </c>
      <c r="D9" s="4">
        <v>46182.291666666664</v>
      </c>
      <c r="E9" s="4"/>
      <c r="H9" t="s">
        <v>24</v>
      </c>
    </row>
    <row r="10" spans="1:8" x14ac:dyDescent="0.5">
      <c r="A10">
        <v>9</v>
      </c>
      <c r="B10" t="s">
        <v>10</v>
      </c>
      <c r="C10">
        <f>4462000/1000</f>
        <v>4462</v>
      </c>
      <c r="D10" s="4">
        <v>46280.291666666664</v>
      </c>
      <c r="E10" s="4">
        <v>46287.916666666664</v>
      </c>
      <c r="F10">
        <f t="shared" ref="F9:F17" si="0">(E10-D10)*24</f>
        <v>183</v>
      </c>
      <c r="G10">
        <v>0</v>
      </c>
    </row>
    <row r="11" spans="1:8" x14ac:dyDescent="0.5">
      <c r="A11">
        <v>10</v>
      </c>
      <c r="B11" t="s">
        <v>11</v>
      </c>
      <c r="C11">
        <f>6940000/1000</f>
        <v>6940</v>
      </c>
      <c r="D11" s="4">
        <v>46294.291666666664</v>
      </c>
      <c r="E11" s="4">
        <v>46301.833333333336</v>
      </c>
      <c r="F11">
        <f t="shared" si="0"/>
        <v>181.00000000011642</v>
      </c>
      <c r="G11">
        <v>0</v>
      </c>
    </row>
    <row r="12" spans="1:8" x14ac:dyDescent="0.5">
      <c r="A12">
        <v>11</v>
      </c>
      <c r="B12" t="s">
        <v>12</v>
      </c>
      <c r="C12">
        <f>15821000/1000</f>
        <v>15821</v>
      </c>
      <c r="D12" s="4">
        <v>46308.5</v>
      </c>
      <c r="E12" s="4">
        <v>46316.541666666664</v>
      </c>
      <c r="F12">
        <f t="shared" si="0"/>
        <v>192.99999999994179</v>
      </c>
      <c r="G12">
        <v>1</v>
      </c>
    </row>
    <row r="13" spans="1:8" x14ac:dyDescent="0.5">
      <c r="A13">
        <v>12</v>
      </c>
      <c r="B13" t="s">
        <v>13</v>
      </c>
      <c r="C13">
        <f>1204000/1000</f>
        <v>1204</v>
      </c>
      <c r="D13" s="4">
        <v>46322.25</v>
      </c>
      <c r="E13" s="4">
        <v>46323.041666666664</v>
      </c>
      <c r="F13">
        <f t="shared" si="0"/>
        <v>18.999999999941792</v>
      </c>
      <c r="G13">
        <v>0</v>
      </c>
    </row>
    <row r="14" spans="1:8" x14ac:dyDescent="0.5">
      <c r="A14">
        <v>13</v>
      </c>
      <c r="B14" t="s">
        <v>14</v>
      </c>
      <c r="C14">
        <f>7433000/1000</f>
        <v>7433</v>
      </c>
      <c r="D14" s="4">
        <v>46329.25</v>
      </c>
      <c r="E14" s="4">
        <v>46329.875</v>
      </c>
      <c r="F14">
        <f t="shared" si="0"/>
        <v>15</v>
      </c>
      <c r="G14">
        <v>0</v>
      </c>
    </row>
    <row r="15" spans="1:8" x14ac:dyDescent="0.5">
      <c r="A15">
        <v>14</v>
      </c>
      <c r="B15" t="s">
        <v>15</v>
      </c>
      <c r="C15">
        <f>9782000/1000</f>
        <v>9782</v>
      </c>
      <c r="D15" s="4">
        <v>46336.291666666664</v>
      </c>
      <c r="E15" s="4">
        <v>46343.208333333336</v>
      </c>
      <c r="F15">
        <f t="shared" si="0"/>
        <v>166.00000000011642</v>
      </c>
      <c r="G15">
        <v>0</v>
      </c>
    </row>
    <row r="16" spans="1:8" x14ac:dyDescent="0.5">
      <c r="A16">
        <v>15</v>
      </c>
      <c r="B16" t="s">
        <v>16</v>
      </c>
      <c r="C16">
        <f>13053000/1000</f>
        <v>13053</v>
      </c>
      <c r="D16" s="4">
        <v>46349.583333333336</v>
      </c>
      <c r="E16" s="4">
        <v>46350.541666666664</v>
      </c>
      <c r="F16">
        <f t="shared" si="0"/>
        <v>22.999999999883585</v>
      </c>
      <c r="G16">
        <v>1</v>
      </c>
    </row>
    <row r="17" spans="1:7" x14ac:dyDescent="0.5">
      <c r="A17">
        <v>16</v>
      </c>
      <c r="B17" t="s">
        <v>17</v>
      </c>
      <c r="C17">
        <f>321000/1000</f>
        <v>321</v>
      </c>
      <c r="D17" s="4">
        <v>46357.5</v>
      </c>
      <c r="E17" s="4">
        <v>46357.958333333336</v>
      </c>
      <c r="F17">
        <f t="shared" si="0"/>
        <v>11.000000000058208</v>
      </c>
      <c r="G17">
        <v>0</v>
      </c>
    </row>
    <row r="18" spans="1:7" x14ac:dyDescent="0.5">
      <c r="C18" s="1"/>
    </row>
    <row r="19" spans="1:7" x14ac:dyDescent="0.5">
      <c r="C19" s="1"/>
    </row>
    <row r="20" spans="1:7" x14ac:dyDescent="0.5">
      <c r="C20" s="1"/>
    </row>
    <row r="21" spans="1:7" x14ac:dyDescent="0.5">
      <c r="C21" s="1"/>
    </row>
    <row r="22" spans="1:7" x14ac:dyDescent="0.5">
      <c r="C22" s="1"/>
    </row>
    <row r="23" spans="1:7" x14ac:dyDescent="0.5">
      <c r="C23" s="1"/>
    </row>
    <row r="24" spans="1:7" x14ac:dyDescent="0.5">
      <c r="C2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 Shahid</dc:creator>
  <cp:lastModifiedBy>Kamran Shahid</cp:lastModifiedBy>
  <dcterms:created xsi:type="dcterms:W3CDTF">2026-02-25T16:34:00Z</dcterms:created>
  <dcterms:modified xsi:type="dcterms:W3CDTF">2026-04-11T12:46:56Z</dcterms:modified>
</cp:coreProperties>
</file>