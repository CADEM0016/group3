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qe19391_bristol_ac_uk/Documents/Bristol_Documents/Teaching/Msc GDP - 2025/"/>
    </mc:Choice>
  </mc:AlternateContent>
  <xr:revisionPtr revIDLastSave="616" documentId="8_{CDFE2E54-043C-4779-BB53-1A7DE3F8BD57}" xr6:coauthVersionLast="47" xr6:coauthVersionMax="47" xr10:uidLastSave="{B18D0F2F-0E5A-4AE5-AD16-9C86B0EB3A56}"/>
  <bookViews>
    <workbookView xWindow="57480" yWindow="-2880" windowWidth="21840" windowHeight="37920" xr2:uid="{0FAE639D-0208-4759-8234-BBBC58590F85}"/>
  </bookViews>
  <sheets>
    <sheet name="Flight Schedule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3" i="1"/>
  <c r="M18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9" i="1"/>
  <c r="M20" i="1"/>
  <c r="M21" i="1"/>
  <c r="M22" i="1"/>
  <c r="M23" i="1"/>
  <c r="M24" i="1"/>
  <c r="M25" i="1"/>
  <c r="M26" i="1"/>
  <c r="M27" i="1"/>
  <c r="M3" i="1"/>
</calcChain>
</file>

<file path=xl/sharedStrings.xml><?xml version="1.0" encoding="utf-8"?>
<sst xmlns="http://schemas.openxmlformats.org/spreadsheetml/2006/main" count="211" uniqueCount="131">
  <si>
    <t>China</t>
  </si>
  <si>
    <t>Japan</t>
  </si>
  <si>
    <t>Bahrain</t>
  </si>
  <si>
    <t>Saudi Arabia</t>
  </si>
  <si>
    <t>Miami</t>
  </si>
  <si>
    <t>Canada</t>
  </si>
  <si>
    <t>Spain</t>
  </si>
  <si>
    <t>Austria</t>
  </si>
  <si>
    <t>Hungary</t>
  </si>
  <si>
    <t>Netherlands</t>
  </si>
  <si>
    <t>Italy</t>
  </si>
  <si>
    <t>Azerbaijan</t>
  </si>
  <si>
    <t>Singapore</t>
  </si>
  <si>
    <t>Mexico</t>
  </si>
  <si>
    <t>Brazil</t>
  </si>
  <si>
    <t>Las Vegas</t>
  </si>
  <si>
    <t>Qatar</t>
  </si>
  <si>
    <t>Abu Dhabi</t>
  </si>
  <si>
    <t>City</t>
  </si>
  <si>
    <t>Melbourne</t>
  </si>
  <si>
    <t>Australia</t>
  </si>
  <si>
    <t>Suzuka</t>
  </si>
  <si>
    <t>Sakhir</t>
  </si>
  <si>
    <t>Jeddah</t>
  </si>
  <si>
    <t>USA</t>
  </si>
  <si>
    <t>Monaco</t>
  </si>
  <si>
    <t>Barcelona-Catalunya</t>
  </si>
  <si>
    <t>Spielberg</t>
  </si>
  <si>
    <t>Great Britain</t>
  </si>
  <si>
    <t>Belgium</t>
  </si>
  <si>
    <t>Spa-Francorchamps</t>
  </si>
  <si>
    <t>Budapest</t>
  </si>
  <si>
    <t>Monza</t>
  </si>
  <si>
    <t>Madrid*</t>
  </si>
  <si>
    <t>Baku</t>
  </si>
  <si>
    <t>Austin</t>
  </si>
  <si>
    <t>Mexico City</t>
  </si>
  <si>
    <t>Sao Paulo</t>
  </si>
  <si>
    <t>Lusail</t>
  </si>
  <si>
    <t>Yas Marina</t>
  </si>
  <si>
    <t>Shanghai</t>
  </si>
  <si>
    <t>Montreal</t>
  </si>
  <si>
    <t>Silverstone</t>
  </si>
  <si>
    <t>Zandvoort</t>
  </si>
  <si>
    <t>Melbourne Airport (MEL)</t>
  </si>
  <si>
    <t>Shanghai Pudong International Airport (PVG)</t>
  </si>
  <si>
    <t>Chubu Centrair International Airport (NGO)</t>
  </si>
  <si>
    <t>Bahrain International Airport (BAH)</t>
  </si>
  <si>
    <t>King Abdulaziz International Airport (JED)</t>
  </si>
  <si>
    <t>Miami International Airport (MIA)</t>
  </si>
  <si>
    <t>MontrÃ©alâ€“Trudeau International Airport (YUL)</t>
  </si>
  <si>
    <t>Nice CÃ´te d'Azur Airport (NCE)</t>
  </si>
  <si>
    <t>Barcelona El Prat Airport (BCN)</t>
  </si>
  <si>
    <t>Vienna International Airport (VIE)</t>
  </si>
  <si>
    <t>London Heathrow Airport (LHR)</t>
  </si>
  <si>
    <t>Brussels Airport (BRU)</t>
  </si>
  <si>
    <t>Budapest Ferenc Liszt International Airport (BUD)</t>
  </si>
  <si>
    <t>Amsterdam Schiphol Airport (AMS)</t>
  </si>
  <si>
    <t>Milan Malpensa Airport (MXP)</t>
  </si>
  <si>
    <t>Heydar Aliyev International Airport (GYD)</t>
  </si>
  <si>
    <t>Singapore Changi Airport (SIN)</t>
  </si>
  <si>
    <t>Austin-Bergstrom International Airport (AUS)</t>
  </si>
  <si>
    <t>Mexico City International Airport (MEX)</t>
  </si>
  <si>
    <t>Harry Reid International Airport (LAS)</t>
  </si>
  <si>
    <t>Hamad International Airport (DOH)</t>
  </si>
  <si>
    <t>Abu Dhabi International Airport (AUH)</t>
  </si>
  <si>
    <t>SÃo Paulo Guarulhos International Airport (GRU)</t>
  </si>
  <si>
    <t>Race Start Time (Local)</t>
  </si>
  <si>
    <t>Air Frieght In?</t>
  </si>
  <si>
    <t>Air Frieght Out?</t>
  </si>
  <si>
    <t>yes</t>
  </si>
  <si>
    <t>no</t>
  </si>
  <si>
    <t>Notes</t>
  </si>
  <si>
    <r>
      <t xml:space="preserve">Fleet flies </t>
    </r>
    <r>
      <rPr>
        <b/>
        <sz val="11"/>
        <color theme="1"/>
        <rFont val="Aptos Narrow"/>
        <family val="2"/>
        <scheme val="minor"/>
      </rPr>
      <t>empty</t>
    </r>
    <r>
      <rPr>
        <sz val="11"/>
        <color theme="1"/>
        <rFont val="Aptos Narrow"/>
        <family val="2"/>
        <scheme val="minor"/>
      </rPr>
      <t xml:space="preserve"> to Madrid</t>
    </r>
  </si>
  <si>
    <r>
      <t xml:space="preserve">Fleet flies </t>
    </r>
    <r>
      <rPr>
        <b/>
        <sz val="11"/>
        <color theme="1"/>
        <rFont val="Aptos Narrow"/>
        <family val="2"/>
        <scheme val="minor"/>
      </rPr>
      <t>empty</t>
    </r>
    <r>
      <rPr>
        <sz val="11"/>
        <color theme="1"/>
        <rFont val="Aptos Narrow"/>
        <family val="2"/>
        <scheme val="minor"/>
      </rPr>
      <t xml:space="preserve"> to Mexico</t>
    </r>
  </si>
  <si>
    <t xml:space="preserve">post-race fleet flies to the UK </t>
  </si>
  <si>
    <t xml:space="preserve">pre-race fleet flies in from UK </t>
  </si>
  <si>
    <t>YMML</t>
  </si>
  <si>
    <t>Closest Internatinal Airport (IATA code)</t>
  </si>
  <si>
    <t>ICAO code</t>
  </si>
  <si>
    <t>ZSPD</t>
  </si>
  <si>
    <t>RJGG</t>
  </si>
  <si>
    <t>OBBI</t>
  </si>
  <si>
    <t>OEJN</t>
  </si>
  <si>
    <t>KMIA</t>
  </si>
  <si>
    <t>LFMN</t>
  </si>
  <si>
    <t>LEBL</t>
  </si>
  <si>
    <t>LOWW</t>
  </si>
  <si>
    <t>EBBR</t>
  </si>
  <si>
    <t>LHBP</t>
  </si>
  <si>
    <t>EHAM</t>
  </si>
  <si>
    <t>LIMC</t>
  </si>
  <si>
    <t>Adolfo Suarez Madrid-Barajas Airport (MAD)</t>
  </si>
  <si>
    <t>LEMD</t>
  </si>
  <si>
    <t>WSSS</t>
  </si>
  <si>
    <t>KAUS</t>
  </si>
  <si>
    <t>MMMX</t>
  </si>
  <si>
    <t>KLAS</t>
  </si>
  <si>
    <t>OTHH</t>
  </si>
  <si>
    <t>OMAA</t>
  </si>
  <si>
    <t>CYUL</t>
  </si>
  <si>
    <t>EGLL</t>
  </si>
  <si>
    <t>UBBB</t>
  </si>
  <si>
    <t>SBGR</t>
  </si>
  <si>
    <t>London</t>
  </si>
  <si>
    <t>N/A</t>
  </si>
  <si>
    <t>Season Start</t>
  </si>
  <si>
    <t>Season End</t>
  </si>
  <si>
    <t>Dist. from previous Event (km)</t>
  </si>
  <si>
    <t>Freight Delivery Limit (local)</t>
  </si>
  <si>
    <t>Freight Depature time (Local)</t>
  </si>
  <si>
    <t>Distance Calc</t>
  </si>
  <si>
    <t>Airport Info</t>
  </si>
  <si>
    <t>Country of Race</t>
  </si>
  <si>
    <t>#</t>
  </si>
  <si>
    <t>-</t>
  </si>
  <si>
    <t>Race Number</t>
  </si>
  <si>
    <t>Country of the race</t>
  </si>
  <si>
    <t>City of the race</t>
  </si>
  <si>
    <t>Time frieght must arrive by ( in local time zone)</t>
  </si>
  <si>
    <t>Race start time ( in local time zone)</t>
  </si>
  <si>
    <t>Assumed freight departure time ( in local time zone)</t>
  </si>
  <si>
    <t xml:space="preserve"> The airport used for the race</t>
  </si>
  <si>
    <t xml:space="preserve"> The ICAO code of the airport used for the race</t>
  </si>
  <si>
    <t>Direct Distance between this and the previous event</t>
  </si>
  <si>
    <t>State whether air freight is flown out of this race</t>
  </si>
  <si>
    <t>State whether air freight is flown in to this race</t>
  </si>
  <si>
    <t>Additional Notes</t>
  </si>
  <si>
    <t>Link to a website with information about the choosen Airport</t>
  </si>
  <si>
    <t>Link to the website used to calculate distance</t>
  </si>
  <si>
    <t>Description of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</si>
</sst>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212529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1"/>
    <xf numFmtId="22" fontId="0" fillId="0" borderId="0" xfId="0" applyNumberFormat="1"/>
    <xf numFmtId="22" fontId="1" fillId="0" borderId="0" xfId="0" applyNumberFormat="1" applyFont="1"/>
    <xf numFmtId="2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2083-1781-43AA-BC0E-956CB742ADB4}">
  <dimension ref="A1:N43"/>
  <sheetViews>
    <sheetView tabSelected="1" workbookViewId="0">
      <selection activeCell="C54" sqref="C54"/>
    </sheetView>
  </sheetViews>
  <sheetFormatPr defaultRowHeight="14.5" x14ac:dyDescent="0.35"/>
  <cols>
    <col min="2" max="2" width="15.36328125" customWidth="1"/>
    <col min="3" max="3" width="21.1796875" customWidth="1"/>
    <col min="4" max="4" width="25" style="7" customWidth="1"/>
    <col min="5" max="5" width="23.7265625" customWidth="1"/>
    <col min="6" max="6" width="26" style="7" customWidth="1"/>
    <col min="7" max="7" width="43.26953125" customWidth="1"/>
    <col min="8" max="8" width="15.453125" customWidth="1"/>
    <col min="9" max="9" width="31" customWidth="1"/>
    <col min="10" max="10" width="15.453125" customWidth="1"/>
    <col min="11" max="11" width="15" customWidth="1"/>
    <col min="12" max="12" width="27.7265625" customWidth="1"/>
    <col min="13" max="13" width="13.26953125" customWidth="1"/>
  </cols>
  <sheetData>
    <row r="1" spans="1:14" x14ac:dyDescent="0.35">
      <c r="A1" s="1" t="s">
        <v>114</v>
      </c>
      <c r="B1" s="1" t="s">
        <v>113</v>
      </c>
      <c r="C1" s="1" t="s">
        <v>18</v>
      </c>
      <c r="D1" s="8" t="s">
        <v>109</v>
      </c>
      <c r="E1" s="1" t="s">
        <v>67</v>
      </c>
      <c r="F1" s="8" t="s">
        <v>110</v>
      </c>
      <c r="G1" s="1" t="s">
        <v>78</v>
      </c>
      <c r="H1" s="1" t="s">
        <v>79</v>
      </c>
      <c r="I1" s="1" t="s">
        <v>108</v>
      </c>
      <c r="J1" s="1" t="s">
        <v>68</v>
      </c>
      <c r="K1" s="1" t="s">
        <v>69</v>
      </c>
      <c r="L1" s="1" t="s">
        <v>72</v>
      </c>
      <c r="M1" s="1" t="s">
        <v>111</v>
      </c>
      <c r="N1" s="1" t="s">
        <v>112</v>
      </c>
    </row>
    <row r="2" spans="1:14" x14ac:dyDescent="0.35">
      <c r="A2" t="s">
        <v>115</v>
      </c>
      <c r="B2" t="s">
        <v>106</v>
      </c>
      <c r="C2" t="s">
        <v>104</v>
      </c>
      <c r="D2" s="4" t="s">
        <v>105</v>
      </c>
      <c r="E2" s="4" t="s">
        <v>105</v>
      </c>
      <c r="F2" s="9" t="s">
        <v>105</v>
      </c>
      <c r="G2" t="s">
        <v>54</v>
      </c>
      <c r="H2" t="s">
        <v>101</v>
      </c>
      <c r="I2" s="5"/>
      <c r="J2" s="3" t="s">
        <v>71</v>
      </c>
      <c r="K2" s="2" t="s">
        <v>70</v>
      </c>
      <c r="L2" s="1"/>
    </row>
    <row r="3" spans="1:14" x14ac:dyDescent="0.35">
      <c r="A3">
        <v>1</v>
      </c>
      <c r="B3" t="s">
        <v>20</v>
      </c>
      <c r="C3" t="s">
        <v>19</v>
      </c>
      <c r="D3" s="7">
        <f>FLOOR(E3,1) - 4 + 1/24*8</f>
        <v>46085.333333333336</v>
      </c>
      <c r="E3" s="7">
        <v>46089.625</v>
      </c>
      <c r="F3" s="9">
        <f>E3+40/24</f>
        <v>46091.291666666664</v>
      </c>
      <c r="G3" t="s">
        <v>44</v>
      </c>
      <c r="H3" t="s">
        <v>77</v>
      </c>
      <c r="I3">
        <v>16847</v>
      </c>
      <c r="J3" s="2" t="s">
        <v>70</v>
      </c>
      <c r="K3" s="2" t="s">
        <v>70</v>
      </c>
      <c r="L3" t="s">
        <v>76</v>
      </c>
      <c r="M3" s="6" t="str">
        <f>HYPERLINK("https://www.owlsnest.eu/circle.php?icao1="&amp;H2&amp;"&amp;searchdeparture=&amp;icao2="&amp;H3&amp;"&amp;searchdestination=")</f>
        <v>https://www.owlsnest.eu/circle.php?icao1=EGLL&amp;searchdeparture=&amp;icao2=YMML&amp;searchdestination=</v>
      </c>
      <c r="N3" s="6" t="str">
        <f>HYPERLINK("https://skyvector.com/airport/"&amp;H3)</f>
        <v>https://skyvector.com/airport/YMML</v>
      </c>
    </row>
    <row r="4" spans="1:14" x14ac:dyDescent="0.35">
      <c r="A4">
        <v>2</v>
      </c>
      <c r="B4" t="s">
        <v>0</v>
      </c>
      <c r="C4" t="s">
        <v>40</v>
      </c>
      <c r="D4" s="7">
        <f t="shared" ref="D4:D26" si="0">FLOOR(E4,1) - 4 + 1/24*8</f>
        <v>46092.333333333336</v>
      </c>
      <c r="E4" s="7">
        <v>46096.625</v>
      </c>
      <c r="F4" s="9">
        <f t="shared" ref="F4:F26" si="1">E4+40/24</f>
        <v>46098.291666666664</v>
      </c>
      <c r="G4" t="s">
        <v>45</v>
      </c>
      <c r="H4" t="s">
        <v>80</v>
      </c>
      <c r="I4">
        <v>8018</v>
      </c>
      <c r="J4" s="2" t="s">
        <v>70</v>
      </c>
      <c r="K4" s="2" t="s">
        <v>70</v>
      </c>
      <c r="M4" s="6" t="str">
        <f t="shared" ref="M4:M27" si="2">HYPERLINK("https://www.owlsnest.eu/circle.php?icao1="&amp;H3&amp;"&amp;searchdeparture=&amp;icao2="&amp;H4&amp;"&amp;searchdestination=")</f>
        <v>https://www.owlsnest.eu/circle.php?icao1=YMML&amp;searchdeparture=&amp;icao2=ZSPD&amp;searchdestination=</v>
      </c>
      <c r="N4" s="6" t="str">
        <f t="shared" ref="N4:N27" si="3">HYPERLINK("https://skyvector.com/airport/"&amp;H4)</f>
        <v>https://skyvector.com/airport/ZSPD</v>
      </c>
    </row>
    <row r="5" spans="1:14" x14ac:dyDescent="0.35">
      <c r="A5">
        <v>3</v>
      </c>
      <c r="B5" t="s">
        <v>1</v>
      </c>
      <c r="C5" t="s">
        <v>21</v>
      </c>
      <c r="D5" s="7">
        <f t="shared" si="0"/>
        <v>46106.333333333336</v>
      </c>
      <c r="E5" s="7">
        <v>46110.583333333336</v>
      </c>
      <c r="F5" s="9">
        <f t="shared" si="1"/>
        <v>46112.25</v>
      </c>
      <c r="G5" t="s">
        <v>46</v>
      </c>
      <c r="H5" t="s">
        <v>81</v>
      </c>
      <c r="I5">
        <v>1457</v>
      </c>
      <c r="J5" s="2" t="s">
        <v>70</v>
      </c>
      <c r="K5" s="2" t="s">
        <v>70</v>
      </c>
      <c r="M5" s="6" t="str">
        <f t="shared" si="2"/>
        <v>https://www.owlsnest.eu/circle.php?icao1=ZSPD&amp;searchdeparture=&amp;icao2=RJGG&amp;searchdestination=</v>
      </c>
      <c r="N5" s="6" t="str">
        <f t="shared" si="3"/>
        <v>https://skyvector.com/airport/RJGG</v>
      </c>
    </row>
    <row r="6" spans="1:14" x14ac:dyDescent="0.35">
      <c r="A6">
        <v>4</v>
      </c>
      <c r="B6" t="s">
        <v>2</v>
      </c>
      <c r="C6" t="s">
        <v>22</v>
      </c>
      <c r="D6" s="7">
        <f t="shared" si="0"/>
        <v>46120.333333333336</v>
      </c>
      <c r="E6" s="7">
        <v>46124.75</v>
      </c>
      <c r="F6" s="9">
        <f t="shared" si="1"/>
        <v>46126.416666666664</v>
      </c>
      <c r="G6" t="s">
        <v>47</v>
      </c>
      <c r="H6" t="s">
        <v>82</v>
      </c>
      <c r="I6">
        <v>8052</v>
      </c>
      <c r="J6" s="2" t="s">
        <v>70</v>
      </c>
      <c r="K6" s="2" t="s">
        <v>70</v>
      </c>
      <c r="M6" s="6" t="str">
        <f t="shared" si="2"/>
        <v>https://www.owlsnest.eu/circle.php?icao1=RJGG&amp;searchdeparture=&amp;icao2=OBBI&amp;searchdestination=</v>
      </c>
      <c r="N6" s="6" t="str">
        <f t="shared" si="3"/>
        <v>https://skyvector.com/airport/OBBI</v>
      </c>
    </row>
    <row r="7" spans="1:14" x14ac:dyDescent="0.35">
      <c r="A7">
        <v>5</v>
      </c>
      <c r="B7" t="s">
        <v>3</v>
      </c>
      <c r="C7" t="s">
        <v>23</v>
      </c>
      <c r="D7" s="7">
        <f t="shared" si="0"/>
        <v>46127.333333333336</v>
      </c>
      <c r="E7" s="7">
        <v>46131.833333333336</v>
      </c>
      <c r="F7" s="9">
        <f t="shared" si="1"/>
        <v>46133.5</v>
      </c>
      <c r="G7" t="s">
        <v>48</v>
      </c>
      <c r="H7" t="s">
        <v>83</v>
      </c>
      <c r="I7">
        <v>1272</v>
      </c>
      <c r="J7" s="2" t="s">
        <v>70</v>
      </c>
      <c r="K7" s="2" t="s">
        <v>70</v>
      </c>
      <c r="M7" s="6" t="str">
        <f t="shared" si="2"/>
        <v>https://www.owlsnest.eu/circle.php?icao1=OBBI&amp;searchdeparture=&amp;icao2=OEJN&amp;searchdestination=</v>
      </c>
      <c r="N7" s="6" t="str">
        <f t="shared" si="3"/>
        <v>https://skyvector.com/airport/OEJN</v>
      </c>
    </row>
    <row r="8" spans="1:14" x14ac:dyDescent="0.35">
      <c r="A8">
        <v>6</v>
      </c>
      <c r="B8" t="s">
        <v>24</v>
      </c>
      <c r="C8" t="s">
        <v>4</v>
      </c>
      <c r="D8" s="7">
        <f t="shared" si="0"/>
        <v>46141.333333333336</v>
      </c>
      <c r="E8" s="7">
        <v>46145.666666666664</v>
      </c>
      <c r="F8" s="9">
        <f t="shared" si="1"/>
        <v>46147.333333333328</v>
      </c>
      <c r="G8" t="s">
        <v>49</v>
      </c>
      <c r="H8" t="s">
        <v>84</v>
      </c>
      <c r="I8">
        <v>11621</v>
      </c>
      <c r="J8" s="2" t="s">
        <v>70</v>
      </c>
      <c r="K8" s="2" t="s">
        <v>70</v>
      </c>
      <c r="M8" s="6" t="str">
        <f t="shared" si="2"/>
        <v>https://www.owlsnest.eu/circle.php?icao1=OEJN&amp;searchdeparture=&amp;icao2=KMIA&amp;searchdestination=</v>
      </c>
      <c r="N8" s="6" t="str">
        <f t="shared" si="3"/>
        <v>https://skyvector.com/airport/KMIA</v>
      </c>
    </row>
    <row r="9" spans="1:14" x14ac:dyDescent="0.35">
      <c r="A9">
        <v>7</v>
      </c>
      <c r="B9" t="s">
        <v>5</v>
      </c>
      <c r="C9" t="s">
        <v>41</v>
      </c>
      <c r="D9" s="7">
        <f t="shared" si="0"/>
        <v>46162.333333333336</v>
      </c>
      <c r="E9" s="7">
        <v>46166.583333333336</v>
      </c>
      <c r="F9" s="9">
        <f t="shared" si="1"/>
        <v>46168.25</v>
      </c>
      <c r="G9" t="s">
        <v>50</v>
      </c>
      <c r="H9" t="s">
        <v>100</v>
      </c>
      <c r="I9">
        <v>2264</v>
      </c>
      <c r="J9" s="2" t="s">
        <v>70</v>
      </c>
      <c r="K9" s="2" t="s">
        <v>70</v>
      </c>
      <c r="M9" s="6" t="str">
        <f t="shared" si="2"/>
        <v>https://www.owlsnest.eu/circle.php?icao1=KMIA&amp;searchdeparture=&amp;icao2=CYUL&amp;searchdestination=</v>
      </c>
      <c r="N9" s="6" t="str">
        <f t="shared" si="3"/>
        <v>https://skyvector.com/airport/CYUL</v>
      </c>
    </row>
    <row r="10" spans="1:14" x14ac:dyDescent="0.35">
      <c r="A10">
        <v>8</v>
      </c>
      <c r="B10" t="s">
        <v>25</v>
      </c>
      <c r="C10" t="s">
        <v>25</v>
      </c>
      <c r="D10" s="7">
        <f t="shared" si="0"/>
        <v>46176.333333333336</v>
      </c>
      <c r="E10" s="7">
        <v>46180.625</v>
      </c>
      <c r="F10" s="9">
        <f t="shared" si="1"/>
        <v>46182.291666666664</v>
      </c>
      <c r="G10" t="s">
        <v>51</v>
      </c>
      <c r="H10" t="s">
        <v>85</v>
      </c>
      <c r="I10">
        <v>6129</v>
      </c>
      <c r="J10" s="2" t="s">
        <v>70</v>
      </c>
      <c r="K10" s="3" t="s">
        <v>71</v>
      </c>
      <c r="L10" t="s">
        <v>73</v>
      </c>
      <c r="M10" s="6" t="str">
        <f t="shared" si="2"/>
        <v>https://www.owlsnest.eu/circle.php?icao1=CYUL&amp;searchdeparture=&amp;icao2=LFMN&amp;searchdestination=</v>
      </c>
      <c r="N10" s="6" t="str">
        <f t="shared" si="3"/>
        <v>https://skyvector.com/airport/LFMN</v>
      </c>
    </row>
    <row r="11" spans="1:14" x14ac:dyDescent="0.35">
      <c r="A11">
        <v>9</v>
      </c>
      <c r="B11" t="s">
        <v>6</v>
      </c>
      <c r="C11" t="s">
        <v>26</v>
      </c>
      <c r="D11" s="7">
        <f t="shared" si="0"/>
        <v>46183.333333333336</v>
      </c>
      <c r="E11" s="7">
        <v>46187.625</v>
      </c>
      <c r="F11" s="9">
        <f t="shared" si="1"/>
        <v>46189.291666666664</v>
      </c>
      <c r="G11" t="s">
        <v>52</v>
      </c>
      <c r="H11" t="s">
        <v>86</v>
      </c>
      <c r="J11" s="3" t="s">
        <v>71</v>
      </c>
      <c r="K11" s="3" t="s">
        <v>71</v>
      </c>
      <c r="M11" s="6" t="str">
        <f t="shared" si="2"/>
        <v>https://www.owlsnest.eu/circle.php?icao1=LFMN&amp;searchdeparture=&amp;icao2=LEBL&amp;searchdestination=</v>
      </c>
      <c r="N11" s="6" t="str">
        <f t="shared" si="3"/>
        <v>https://skyvector.com/airport/LEBL</v>
      </c>
    </row>
    <row r="12" spans="1:14" x14ac:dyDescent="0.35">
      <c r="A12">
        <v>10</v>
      </c>
      <c r="B12" t="s">
        <v>7</v>
      </c>
      <c r="C12" t="s">
        <v>27</v>
      </c>
      <c r="D12" s="7">
        <f t="shared" si="0"/>
        <v>46197.333333333336</v>
      </c>
      <c r="E12" s="7">
        <v>46201.625</v>
      </c>
      <c r="F12" s="9">
        <f t="shared" si="1"/>
        <v>46203.291666666664</v>
      </c>
      <c r="G12" t="s">
        <v>53</v>
      </c>
      <c r="H12" t="s">
        <v>87</v>
      </c>
      <c r="J12" s="3" t="s">
        <v>71</v>
      </c>
      <c r="K12" s="3" t="s">
        <v>71</v>
      </c>
      <c r="M12" s="6" t="str">
        <f t="shared" si="2"/>
        <v>https://www.owlsnest.eu/circle.php?icao1=LEBL&amp;searchdeparture=&amp;icao2=LOWW&amp;searchdestination=</v>
      </c>
      <c r="N12" s="6" t="str">
        <f t="shared" si="3"/>
        <v>https://skyvector.com/airport/LOWW</v>
      </c>
    </row>
    <row r="13" spans="1:14" x14ac:dyDescent="0.35">
      <c r="A13">
        <v>11</v>
      </c>
      <c r="B13" t="s">
        <v>28</v>
      </c>
      <c r="C13" t="s">
        <v>42</v>
      </c>
      <c r="D13" s="7">
        <f t="shared" si="0"/>
        <v>46204.333333333336</v>
      </c>
      <c r="E13" s="7">
        <v>46208.625</v>
      </c>
      <c r="F13" s="9">
        <f t="shared" si="1"/>
        <v>46210.291666666664</v>
      </c>
      <c r="G13" t="s">
        <v>54</v>
      </c>
      <c r="H13" t="s">
        <v>101</v>
      </c>
      <c r="J13" s="3" t="s">
        <v>71</v>
      </c>
      <c r="K13" s="3" t="s">
        <v>71</v>
      </c>
      <c r="M13" s="6" t="str">
        <f t="shared" si="2"/>
        <v>https://www.owlsnest.eu/circle.php?icao1=LOWW&amp;searchdeparture=&amp;icao2=EGLL&amp;searchdestination=</v>
      </c>
      <c r="N13" s="6" t="str">
        <f t="shared" si="3"/>
        <v>https://skyvector.com/airport/EGLL</v>
      </c>
    </row>
    <row r="14" spans="1:14" x14ac:dyDescent="0.35">
      <c r="A14">
        <v>12</v>
      </c>
      <c r="B14" t="s">
        <v>29</v>
      </c>
      <c r="C14" t="s">
        <v>30</v>
      </c>
      <c r="D14" s="7">
        <f t="shared" si="0"/>
        <v>46218.333333333336</v>
      </c>
      <c r="E14" s="7">
        <v>46222.625</v>
      </c>
      <c r="F14" s="9">
        <f t="shared" si="1"/>
        <v>46224.291666666664</v>
      </c>
      <c r="G14" t="s">
        <v>55</v>
      </c>
      <c r="H14" t="s">
        <v>88</v>
      </c>
      <c r="J14" s="3" t="s">
        <v>71</v>
      </c>
      <c r="K14" s="3" t="s">
        <v>71</v>
      </c>
      <c r="M14" s="6" t="str">
        <f t="shared" si="2"/>
        <v>https://www.owlsnest.eu/circle.php?icao1=EGLL&amp;searchdeparture=&amp;icao2=EBBR&amp;searchdestination=</v>
      </c>
      <c r="N14" s="6" t="str">
        <f t="shared" si="3"/>
        <v>https://skyvector.com/airport/EBBR</v>
      </c>
    </row>
    <row r="15" spans="1:14" x14ac:dyDescent="0.35">
      <c r="A15">
        <v>13</v>
      </c>
      <c r="B15" t="s">
        <v>8</v>
      </c>
      <c r="C15" t="s">
        <v>31</v>
      </c>
      <c r="D15" s="7">
        <f t="shared" si="0"/>
        <v>46225.333333333336</v>
      </c>
      <c r="E15" s="7">
        <v>46229.625</v>
      </c>
      <c r="F15" s="9">
        <f t="shared" si="1"/>
        <v>46231.291666666664</v>
      </c>
      <c r="G15" t="s">
        <v>56</v>
      </c>
      <c r="H15" t="s">
        <v>89</v>
      </c>
      <c r="J15" s="3" t="s">
        <v>71</v>
      </c>
      <c r="K15" s="3" t="s">
        <v>71</v>
      </c>
      <c r="M15" s="6" t="str">
        <f t="shared" si="2"/>
        <v>https://www.owlsnest.eu/circle.php?icao1=EBBR&amp;searchdeparture=&amp;icao2=LHBP&amp;searchdestination=</v>
      </c>
      <c r="N15" s="6" t="str">
        <f t="shared" si="3"/>
        <v>https://skyvector.com/airport/LHBP</v>
      </c>
    </row>
    <row r="16" spans="1:14" x14ac:dyDescent="0.35">
      <c r="A16">
        <v>14</v>
      </c>
      <c r="B16" t="s">
        <v>9</v>
      </c>
      <c r="C16" t="s">
        <v>43</v>
      </c>
      <c r="D16" s="7">
        <f t="shared" si="0"/>
        <v>46253.333333333336</v>
      </c>
      <c r="E16" s="7">
        <v>46257.625</v>
      </c>
      <c r="F16" s="9">
        <f t="shared" si="1"/>
        <v>46259.291666666664</v>
      </c>
      <c r="G16" t="s">
        <v>57</v>
      </c>
      <c r="H16" t="s">
        <v>90</v>
      </c>
      <c r="J16" s="3" t="s">
        <v>71</v>
      </c>
      <c r="K16" s="3" t="s">
        <v>71</v>
      </c>
      <c r="M16" s="6" t="str">
        <f t="shared" si="2"/>
        <v>https://www.owlsnest.eu/circle.php?icao1=LHBP&amp;searchdeparture=&amp;icao2=EHAM&amp;searchdestination=</v>
      </c>
      <c r="N16" s="6" t="str">
        <f t="shared" si="3"/>
        <v>https://skyvector.com/airport/EHAM</v>
      </c>
    </row>
    <row r="17" spans="1:14" x14ac:dyDescent="0.35">
      <c r="A17">
        <v>15</v>
      </c>
      <c r="B17" t="s">
        <v>10</v>
      </c>
      <c r="C17" t="s">
        <v>32</v>
      </c>
      <c r="D17" s="7">
        <f t="shared" si="0"/>
        <v>46267.333333333336</v>
      </c>
      <c r="E17" s="7">
        <v>46271.625</v>
      </c>
      <c r="F17" s="9">
        <f t="shared" si="1"/>
        <v>46273.291666666664</v>
      </c>
      <c r="G17" t="s">
        <v>58</v>
      </c>
      <c r="H17" t="s">
        <v>91</v>
      </c>
      <c r="J17" s="3" t="s">
        <v>71</v>
      </c>
      <c r="K17" s="3" t="s">
        <v>71</v>
      </c>
      <c r="M17" s="6" t="str">
        <f t="shared" si="2"/>
        <v>https://www.owlsnest.eu/circle.php?icao1=EHAM&amp;searchdeparture=&amp;icao2=LIMC&amp;searchdestination=</v>
      </c>
      <c r="N17" s="6" t="str">
        <f t="shared" si="3"/>
        <v>https://skyvector.com/airport/LIMC</v>
      </c>
    </row>
    <row r="18" spans="1:14" x14ac:dyDescent="0.35">
      <c r="A18">
        <v>16</v>
      </c>
      <c r="B18" t="s">
        <v>6</v>
      </c>
      <c r="C18" t="s">
        <v>33</v>
      </c>
      <c r="D18" s="7">
        <f t="shared" si="0"/>
        <v>46274.333333333336</v>
      </c>
      <c r="E18" s="7">
        <v>46278.625</v>
      </c>
      <c r="F18" s="9">
        <f t="shared" si="1"/>
        <v>46280.291666666664</v>
      </c>
      <c r="G18" t="s">
        <v>92</v>
      </c>
      <c r="H18" t="s">
        <v>93</v>
      </c>
      <c r="I18">
        <v>957</v>
      </c>
      <c r="J18" s="3" t="s">
        <v>71</v>
      </c>
      <c r="K18" s="2" t="s">
        <v>70</v>
      </c>
      <c r="M18" s="6" t="str">
        <f>HYPERLINK("https://www.owlsnest.eu/circle.php?icao1="&amp;H10&amp;"&amp;searchdeparture=&amp;icao2="&amp;H18&amp;"&amp;searchdestination=")</f>
        <v>https://www.owlsnest.eu/circle.php?icao1=LFMN&amp;searchdeparture=&amp;icao2=LEMD&amp;searchdestination=</v>
      </c>
      <c r="N18" s="6" t="str">
        <f t="shared" si="3"/>
        <v>https://skyvector.com/airport/LEMD</v>
      </c>
    </row>
    <row r="19" spans="1:14" x14ac:dyDescent="0.35">
      <c r="A19">
        <v>17</v>
      </c>
      <c r="B19" t="s">
        <v>11</v>
      </c>
      <c r="C19" t="s">
        <v>34</v>
      </c>
      <c r="D19" s="7">
        <f t="shared" si="0"/>
        <v>46288.333333333336</v>
      </c>
      <c r="E19" s="7">
        <v>46292.625</v>
      </c>
      <c r="F19" s="9">
        <f t="shared" si="1"/>
        <v>46294.291666666664</v>
      </c>
      <c r="G19" t="s">
        <v>59</v>
      </c>
      <c r="H19" t="s">
        <v>102</v>
      </c>
      <c r="I19">
        <v>4462</v>
      </c>
      <c r="J19" s="2" t="s">
        <v>70</v>
      </c>
      <c r="K19" s="2" t="s">
        <v>70</v>
      </c>
      <c r="M19" s="6" t="str">
        <f t="shared" si="2"/>
        <v>https://www.owlsnest.eu/circle.php?icao1=LEMD&amp;searchdeparture=&amp;icao2=UBBB&amp;searchdestination=</v>
      </c>
      <c r="N19" s="6" t="str">
        <f t="shared" si="3"/>
        <v>https://skyvector.com/airport/UBBB</v>
      </c>
    </row>
    <row r="20" spans="1:14" x14ac:dyDescent="0.35">
      <c r="A20">
        <v>18</v>
      </c>
      <c r="B20" t="s">
        <v>12</v>
      </c>
      <c r="C20" t="s">
        <v>12</v>
      </c>
      <c r="D20" s="7">
        <f t="shared" si="0"/>
        <v>46302.333333333336</v>
      </c>
      <c r="E20" s="7">
        <v>46306.833333333336</v>
      </c>
      <c r="F20" s="9">
        <f t="shared" si="1"/>
        <v>46308.5</v>
      </c>
      <c r="G20" t="s">
        <v>60</v>
      </c>
      <c r="H20" t="s">
        <v>94</v>
      </c>
      <c r="I20">
        <v>6940</v>
      </c>
      <c r="J20" s="2" t="s">
        <v>70</v>
      </c>
      <c r="K20" s="2" t="s">
        <v>70</v>
      </c>
      <c r="M20" s="6" t="str">
        <f t="shared" si="2"/>
        <v>https://www.owlsnest.eu/circle.php?icao1=UBBB&amp;searchdeparture=&amp;icao2=WSSS&amp;searchdestination=</v>
      </c>
      <c r="N20" s="6" t="str">
        <f t="shared" si="3"/>
        <v>https://skyvector.com/airport/WSSS</v>
      </c>
    </row>
    <row r="21" spans="1:14" x14ac:dyDescent="0.35">
      <c r="A21">
        <v>19</v>
      </c>
      <c r="B21" t="s">
        <v>24</v>
      </c>
      <c r="C21" t="s">
        <v>35</v>
      </c>
      <c r="D21" s="7">
        <f t="shared" si="0"/>
        <v>46316.333333333336</v>
      </c>
      <c r="E21" s="7">
        <v>46320.583333333336</v>
      </c>
      <c r="F21" s="9">
        <f t="shared" si="1"/>
        <v>46322.25</v>
      </c>
      <c r="G21" t="s">
        <v>61</v>
      </c>
      <c r="H21" t="s">
        <v>95</v>
      </c>
      <c r="I21">
        <v>15821</v>
      </c>
      <c r="J21" s="2" t="s">
        <v>70</v>
      </c>
      <c r="K21" s="2" t="s">
        <v>70</v>
      </c>
      <c r="L21" t="s">
        <v>74</v>
      </c>
      <c r="M21" s="6" t="str">
        <f t="shared" si="2"/>
        <v>https://www.owlsnest.eu/circle.php?icao1=WSSS&amp;searchdeparture=&amp;icao2=KAUS&amp;searchdestination=</v>
      </c>
      <c r="N21" s="6" t="str">
        <f t="shared" si="3"/>
        <v>https://skyvector.com/airport/KAUS</v>
      </c>
    </row>
    <row r="22" spans="1:14" x14ac:dyDescent="0.35">
      <c r="A22">
        <v>20</v>
      </c>
      <c r="B22" t="s">
        <v>13</v>
      </c>
      <c r="C22" t="s">
        <v>36</v>
      </c>
      <c r="D22" s="7">
        <f t="shared" si="0"/>
        <v>46323.333333333336</v>
      </c>
      <c r="E22" s="7">
        <v>46327.583333333336</v>
      </c>
      <c r="F22" s="9">
        <f t="shared" si="1"/>
        <v>46329.25</v>
      </c>
      <c r="G22" t="s">
        <v>62</v>
      </c>
      <c r="H22" t="s">
        <v>96</v>
      </c>
      <c r="I22">
        <v>1204</v>
      </c>
      <c r="J22" s="2" t="s">
        <v>70</v>
      </c>
      <c r="K22" s="2" t="s">
        <v>70</v>
      </c>
      <c r="M22" s="6" t="str">
        <f t="shared" si="2"/>
        <v>https://www.owlsnest.eu/circle.php?icao1=KAUS&amp;searchdeparture=&amp;icao2=MMMX&amp;searchdestination=</v>
      </c>
      <c r="N22" s="6" t="str">
        <f t="shared" si="3"/>
        <v>https://skyvector.com/airport/MMMX</v>
      </c>
    </row>
    <row r="23" spans="1:14" x14ac:dyDescent="0.35">
      <c r="A23">
        <v>21</v>
      </c>
      <c r="B23" t="s">
        <v>14</v>
      </c>
      <c r="C23" t="s">
        <v>37</v>
      </c>
      <c r="D23" s="7">
        <f t="shared" si="0"/>
        <v>46330.333333333336</v>
      </c>
      <c r="E23" s="7">
        <v>46334.625</v>
      </c>
      <c r="F23" s="9">
        <f t="shared" si="1"/>
        <v>46336.291666666664</v>
      </c>
      <c r="G23" t="s">
        <v>66</v>
      </c>
      <c r="H23" t="s">
        <v>103</v>
      </c>
      <c r="I23">
        <v>7433</v>
      </c>
      <c r="J23" s="2" t="s">
        <v>70</v>
      </c>
      <c r="K23" s="2" t="s">
        <v>70</v>
      </c>
      <c r="M23" s="6" t="str">
        <f t="shared" si="2"/>
        <v>https://www.owlsnest.eu/circle.php?icao1=MMMX&amp;searchdeparture=&amp;icao2=SBGR&amp;searchdestination=</v>
      </c>
      <c r="N23" s="6" t="str">
        <f t="shared" si="3"/>
        <v>https://skyvector.com/airport/SBGR</v>
      </c>
    </row>
    <row r="24" spans="1:14" x14ac:dyDescent="0.35">
      <c r="A24">
        <v>22</v>
      </c>
      <c r="B24" t="s">
        <v>24</v>
      </c>
      <c r="C24" t="s">
        <v>15</v>
      </c>
      <c r="D24" s="7">
        <f t="shared" si="0"/>
        <v>46343.333333333336</v>
      </c>
      <c r="E24" s="7">
        <v>46347.916666666664</v>
      </c>
      <c r="F24" s="9">
        <f t="shared" si="1"/>
        <v>46349.583333333328</v>
      </c>
      <c r="G24" t="s">
        <v>63</v>
      </c>
      <c r="H24" t="s">
        <v>97</v>
      </c>
      <c r="I24">
        <v>9782</v>
      </c>
      <c r="J24" s="2" t="s">
        <v>70</v>
      </c>
      <c r="K24" s="2" t="s">
        <v>70</v>
      </c>
      <c r="M24" s="6" t="str">
        <f t="shared" si="2"/>
        <v>https://www.owlsnest.eu/circle.php?icao1=SBGR&amp;searchdeparture=&amp;icao2=KLAS&amp;searchdestination=</v>
      </c>
      <c r="N24" s="6" t="str">
        <f t="shared" si="3"/>
        <v>https://skyvector.com/airport/KLAS</v>
      </c>
    </row>
    <row r="25" spans="1:14" x14ac:dyDescent="0.35">
      <c r="A25">
        <v>23</v>
      </c>
      <c r="B25" t="s">
        <v>16</v>
      </c>
      <c r="C25" t="s">
        <v>38</v>
      </c>
      <c r="D25" s="7">
        <f t="shared" si="0"/>
        <v>46351.333333333336</v>
      </c>
      <c r="E25" s="7">
        <v>46355.833333333336</v>
      </c>
      <c r="F25" s="9">
        <f t="shared" si="1"/>
        <v>46357.5</v>
      </c>
      <c r="G25" t="s">
        <v>64</v>
      </c>
      <c r="H25" t="s">
        <v>98</v>
      </c>
      <c r="I25">
        <v>13053</v>
      </c>
      <c r="J25" s="2" t="s">
        <v>70</v>
      </c>
      <c r="K25" s="2" t="s">
        <v>70</v>
      </c>
      <c r="M25" s="6" t="str">
        <f t="shared" si="2"/>
        <v>https://www.owlsnest.eu/circle.php?icao1=KLAS&amp;searchdeparture=&amp;icao2=OTHH&amp;searchdestination=</v>
      </c>
      <c r="N25" s="6" t="str">
        <f t="shared" si="3"/>
        <v>https://skyvector.com/airport/OTHH</v>
      </c>
    </row>
    <row r="26" spans="1:14" x14ac:dyDescent="0.35">
      <c r="A26">
        <v>24</v>
      </c>
      <c r="B26" t="s">
        <v>17</v>
      </c>
      <c r="C26" t="s">
        <v>39</v>
      </c>
      <c r="D26" s="7">
        <f t="shared" si="0"/>
        <v>46358.333333333336</v>
      </c>
      <c r="E26" s="7">
        <v>46362.708333333336</v>
      </c>
      <c r="F26" s="9">
        <f t="shared" si="1"/>
        <v>46364.375</v>
      </c>
      <c r="G26" t="s">
        <v>65</v>
      </c>
      <c r="H26" t="s">
        <v>99</v>
      </c>
      <c r="I26">
        <v>321</v>
      </c>
      <c r="J26" s="2" t="s">
        <v>70</v>
      </c>
      <c r="K26" s="2" t="s">
        <v>70</v>
      </c>
      <c r="L26" t="s">
        <v>75</v>
      </c>
      <c r="M26" s="6" t="str">
        <f t="shared" si="2"/>
        <v>https://www.owlsnest.eu/circle.php?icao1=OTHH&amp;searchdeparture=&amp;icao2=OMAA&amp;searchdestination=</v>
      </c>
      <c r="N26" s="6" t="str">
        <f t="shared" si="3"/>
        <v>https://skyvector.com/airport/OMAA</v>
      </c>
    </row>
    <row r="27" spans="1:14" x14ac:dyDescent="0.35">
      <c r="A27" t="s">
        <v>115</v>
      </c>
      <c r="B27" t="s">
        <v>107</v>
      </c>
      <c r="C27" t="s">
        <v>104</v>
      </c>
      <c r="D27" s="4" t="s">
        <v>105</v>
      </c>
      <c r="E27" s="4" t="s">
        <v>105</v>
      </c>
      <c r="F27" s="9" t="s">
        <v>105</v>
      </c>
      <c r="G27" t="s">
        <v>54</v>
      </c>
      <c r="H27" t="s">
        <v>101</v>
      </c>
      <c r="I27">
        <v>5454</v>
      </c>
      <c r="J27" s="2" t="s">
        <v>70</v>
      </c>
      <c r="K27" s="3" t="s">
        <v>71</v>
      </c>
      <c r="M27" s="6" t="str">
        <f t="shared" si="2"/>
        <v>https://www.owlsnest.eu/circle.php?icao1=OMAA&amp;searchdeparture=&amp;icao2=EGLL&amp;searchdestination=</v>
      </c>
      <c r="N27" s="6" t="str">
        <f t="shared" si="3"/>
        <v>https://skyvector.com/airport/EGLL</v>
      </c>
    </row>
    <row r="28" spans="1:14" x14ac:dyDescent="0.35">
      <c r="E28" s="7"/>
    </row>
    <row r="29" spans="1:14" x14ac:dyDescent="0.35">
      <c r="E29" s="7"/>
    </row>
    <row r="30" spans="1:14" x14ac:dyDescent="0.35">
      <c r="E30" s="7"/>
    </row>
    <row r="31" spans="1:14" x14ac:dyDescent="0.35">
      <c r="E31" s="7"/>
    </row>
    <row r="32" spans="1:14" x14ac:dyDescent="0.35">
      <c r="E32" s="7"/>
    </row>
    <row r="33" spans="5:5" x14ac:dyDescent="0.35">
      <c r="E33" s="7"/>
    </row>
    <row r="34" spans="5:5" x14ac:dyDescent="0.35">
      <c r="E34" s="7"/>
    </row>
    <row r="35" spans="5:5" x14ac:dyDescent="0.35">
      <c r="E35" s="7"/>
    </row>
    <row r="36" spans="5:5" x14ac:dyDescent="0.35">
      <c r="E36" s="7"/>
    </row>
    <row r="37" spans="5:5" x14ac:dyDescent="0.35">
      <c r="E37" s="7"/>
    </row>
    <row r="38" spans="5:5" x14ac:dyDescent="0.35">
      <c r="E38" s="7"/>
    </row>
    <row r="39" spans="5:5" x14ac:dyDescent="0.35">
      <c r="E39" s="7"/>
    </row>
    <row r="40" spans="5:5" x14ac:dyDescent="0.35">
      <c r="E40" s="7"/>
    </row>
    <row r="41" spans="5:5" x14ac:dyDescent="0.35">
      <c r="E41" s="7"/>
    </row>
    <row r="42" spans="5:5" x14ac:dyDescent="0.35">
      <c r="E42" s="7"/>
    </row>
    <row r="43" spans="5:5" x14ac:dyDescent="0.35">
      <c r="E43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11D6D-496A-451B-B6A0-155BF2E4240A}">
  <dimension ref="A2:H16"/>
  <sheetViews>
    <sheetView workbookViewId="0">
      <selection activeCell="F26" sqref="F26"/>
    </sheetView>
  </sheetViews>
  <sheetFormatPr defaultRowHeight="14.5" x14ac:dyDescent="0.35"/>
  <cols>
    <col min="1" max="1" width="38.6328125" customWidth="1"/>
  </cols>
  <sheetData>
    <row r="2" spans="1:8" x14ac:dyDescent="0.35">
      <c r="A2" s="10" t="s">
        <v>130</v>
      </c>
      <c r="B2" s="10"/>
      <c r="C2" s="10"/>
      <c r="D2" s="10"/>
      <c r="E2" s="10"/>
      <c r="F2" s="10"/>
      <c r="G2" s="10"/>
      <c r="H2" s="10"/>
    </row>
    <row r="3" spans="1:8" x14ac:dyDescent="0.35">
      <c r="A3" s="1" t="s">
        <v>114</v>
      </c>
      <c r="B3" s="11" t="s">
        <v>116</v>
      </c>
      <c r="C3" s="11"/>
      <c r="D3" s="11"/>
      <c r="E3" s="11"/>
      <c r="F3" s="11"/>
      <c r="G3" s="11"/>
      <c r="H3" s="11"/>
    </row>
    <row r="4" spans="1:8" x14ac:dyDescent="0.35">
      <c r="A4" s="1" t="s">
        <v>113</v>
      </c>
      <c r="B4" s="11" t="s">
        <v>117</v>
      </c>
      <c r="C4" s="11"/>
      <c r="D4" s="11"/>
      <c r="E4" s="11"/>
      <c r="F4" s="11"/>
      <c r="G4" s="11"/>
      <c r="H4" s="11"/>
    </row>
    <row r="5" spans="1:8" x14ac:dyDescent="0.35">
      <c r="A5" s="1" t="s">
        <v>18</v>
      </c>
      <c r="B5" s="11" t="s">
        <v>118</v>
      </c>
      <c r="C5" s="11"/>
      <c r="D5" s="11"/>
      <c r="E5" s="11"/>
      <c r="F5" s="11"/>
      <c r="G5" s="11"/>
      <c r="H5" s="11"/>
    </row>
    <row r="6" spans="1:8" x14ac:dyDescent="0.35">
      <c r="A6" s="8" t="s">
        <v>109</v>
      </c>
      <c r="B6" s="11" t="s">
        <v>119</v>
      </c>
      <c r="C6" s="11"/>
      <c r="D6" s="11"/>
      <c r="E6" s="11"/>
      <c r="F6" s="11"/>
      <c r="G6" s="11"/>
      <c r="H6" s="11"/>
    </row>
    <row r="7" spans="1:8" x14ac:dyDescent="0.35">
      <c r="A7" s="1" t="s">
        <v>67</v>
      </c>
      <c r="B7" s="11" t="s">
        <v>120</v>
      </c>
      <c r="C7" s="11"/>
      <c r="D7" s="11"/>
      <c r="E7" s="11"/>
      <c r="F7" s="11"/>
      <c r="G7" s="11"/>
      <c r="H7" s="11"/>
    </row>
    <row r="8" spans="1:8" x14ac:dyDescent="0.35">
      <c r="A8" s="8" t="s">
        <v>110</v>
      </c>
      <c r="B8" s="11" t="s">
        <v>121</v>
      </c>
      <c r="C8" s="11"/>
      <c r="D8" s="11"/>
      <c r="E8" s="11"/>
      <c r="F8" s="11"/>
      <c r="G8" s="11"/>
      <c r="H8" s="11"/>
    </row>
    <row r="9" spans="1:8" x14ac:dyDescent="0.35">
      <c r="A9" s="1" t="s">
        <v>78</v>
      </c>
      <c r="B9" s="11" t="s">
        <v>122</v>
      </c>
      <c r="C9" s="11"/>
      <c r="D9" s="11"/>
      <c r="E9" s="11"/>
      <c r="F9" s="11"/>
      <c r="G9" s="11"/>
      <c r="H9" s="11"/>
    </row>
    <row r="10" spans="1:8" x14ac:dyDescent="0.35">
      <c r="A10" s="1" t="s">
        <v>79</v>
      </c>
      <c r="B10" s="11" t="s">
        <v>123</v>
      </c>
      <c r="C10" s="11"/>
      <c r="D10" s="11"/>
      <c r="E10" s="11"/>
      <c r="F10" s="11"/>
      <c r="G10" s="11"/>
      <c r="H10" s="11"/>
    </row>
    <row r="11" spans="1:8" x14ac:dyDescent="0.35">
      <c r="A11" s="1" t="s">
        <v>108</v>
      </c>
      <c r="B11" s="11" t="s">
        <v>124</v>
      </c>
      <c r="C11" s="11"/>
      <c r="D11" s="11"/>
      <c r="E11" s="11"/>
      <c r="F11" s="11"/>
      <c r="G11" s="11"/>
      <c r="H11" s="11"/>
    </row>
    <row r="12" spans="1:8" x14ac:dyDescent="0.35">
      <c r="A12" s="1" t="s">
        <v>68</v>
      </c>
      <c r="B12" s="11" t="s">
        <v>126</v>
      </c>
      <c r="C12" s="11"/>
      <c r="D12" s="11"/>
      <c r="E12" s="11"/>
      <c r="F12" s="11"/>
      <c r="G12" s="11"/>
      <c r="H12" s="11"/>
    </row>
    <row r="13" spans="1:8" x14ac:dyDescent="0.35">
      <c r="A13" s="1" t="s">
        <v>69</v>
      </c>
      <c r="B13" s="11" t="s">
        <v>125</v>
      </c>
      <c r="C13" s="11"/>
      <c r="D13" s="11"/>
      <c r="E13" s="11"/>
      <c r="F13" s="11"/>
      <c r="G13" s="11"/>
      <c r="H13" s="11"/>
    </row>
    <row r="14" spans="1:8" x14ac:dyDescent="0.35">
      <c r="A14" s="1" t="s">
        <v>72</v>
      </c>
      <c r="B14" s="11" t="s">
        <v>127</v>
      </c>
      <c r="C14" s="11"/>
      <c r="D14" s="11"/>
      <c r="E14" s="11"/>
      <c r="F14" s="11"/>
      <c r="G14" s="11"/>
      <c r="H14" s="11"/>
    </row>
    <row r="15" spans="1:8" x14ac:dyDescent="0.35">
      <c r="A15" s="1" t="s">
        <v>111</v>
      </c>
      <c r="B15" s="11" t="s">
        <v>129</v>
      </c>
      <c r="C15" s="11"/>
      <c r="D15" s="11"/>
      <c r="E15" s="11"/>
      <c r="F15" s="11"/>
      <c r="G15" s="11"/>
      <c r="H15" s="11"/>
    </row>
    <row r="16" spans="1:8" x14ac:dyDescent="0.35">
      <c r="A16" s="1" t="s">
        <v>112</v>
      </c>
      <c r="B16" s="11" t="s">
        <v>128</v>
      </c>
      <c r="C16" s="11"/>
      <c r="D16" s="11"/>
      <c r="E16" s="11"/>
      <c r="F16" s="11"/>
      <c r="G16" s="11"/>
      <c r="H16" s="11"/>
    </row>
  </sheetData>
  <mergeCells count="15">
    <mergeCell ref="B14:H14"/>
    <mergeCell ref="B15:H15"/>
    <mergeCell ref="B16:H16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Flight Schedule</vt:lpstr>
      <vt:lpstr>README</vt:lpstr>
    </vt:vector>
  </TitlesOfParts>
  <Company>University of Bristol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Fintan Healy</dc:creator>
  <cp:lastModifiedBy>Fintan Healy</cp:lastModifiedBy>
  <dcterms:created xsi:type="dcterms:W3CDTF">2025-10-18T20:04:36Z</dcterms:created>
  <dcterms:modified xsi:type="dcterms:W3CDTF">2026-01-06T17:19:48Z</dcterms:modified>
</cp:coreProperties>
</file>